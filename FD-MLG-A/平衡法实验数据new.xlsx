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数据记录表" sheetId="2" state="visible" r:id="rId2"/>
    <sheet name="计算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</cols>
  <sheetData>
    <row r="1">
      <c r="A1">
        <f>== 平衡法实验参数 ===</f>
        <v/>
      </c>
      <c r="B1" t="inlineStr"/>
      <c r="C1" t="inlineStr"/>
      <c r="D1" t="inlineStr"/>
    </row>
    <row r="2">
      <c r="A2" t="inlineStr">
        <is>
          <t>参数名称</t>
        </is>
      </c>
      <c r="B2" t="inlineStr">
        <is>
          <t>参数值</t>
        </is>
      </c>
      <c r="C2" t="inlineStr">
        <is>
          <t>单位</t>
        </is>
      </c>
      <c r="D2" t="inlineStr">
        <is>
          <t>备注</t>
        </is>
      </c>
    </row>
    <row r="3">
      <c r="A3" t="inlineStr">
        <is>
          <t>实验方法</t>
        </is>
      </c>
      <c r="B3" t="inlineStr">
        <is>
          <t>平衡法</t>
        </is>
      </c>
      <c r="C3" t="inlineStr"/>
      <c r="D3" t="inlineStr"/>
    </row>
    <row r="4">
      <c r="A4" t="inlineStr">
        <is>
          <t>极板间距</t>
        </is>
      </c>
      <c r="B4" t="inlineStr">
        <is>
          <t>5.00</t>
        </is>
      </c>
      <c r="C4" t="inlineStr">
        <is>
          <t>mm</t>
        </is>
      </c>
      <c r="D4" t="inlineStr">
        <is>
          <t>固定参数</t>
        </is>
      </c>
    </row>
    <row r="5">
      <c r="A5" t="inlineStr">
        <is>
          <t>运动距离</t>
        </is>
      </c>
      <c r="B5" t="inlineStr">
        <is>
          <t>2.0</t>
        </is>
      </c>
      <c r="C5" t="inlineStr">
        <is>
          <t>mm</t>
        </is>
      </c>
      <c r="D5" t="inlineStr">
        <is>
          <t>实验参数</t>
        </is>
      </c>
    </row>
    <row r="6">
      <c r="A6" t="inlineStr">
        <is>
          <t>室温</t>
        </is>
      </c>
      <c r="B6" t="inlineStr">
        <is>
          <t>297.12</t>
        </is>
      </c>
      <c r="C6" t="inlineStr">
        <is>
          <t>K</t>
        </is>
      </c>
      <c r="D6" t="inlineStr">
        <is>
          <t>实验参数</t>
        </is>
      </c>
    </row>
    <row r="7">
      <c r="A7" t="inlineStr">
        <is>
          <t>大气压强</t>
        </is>
      </c>
      <c r="B7" t="inlineStr">
        <is>
          <t>101325</t>
        </is>
      </c>
      <c r="C7" t="inlineStr">
        <is>
          <t>Pa</t>
        </is>
      </c>
      <c r="D7" t="inlineStr">
        <is>
          <t>实验参数</t>
        </is>
      </c>
    </row>
    <row r="8">
      <c r="A8" t="inlineStr">
        <is>
          <t>重力加速度</t>
        </is>
      </c>
      <c r="B8" t="inlineStr">
        <is>
          <t>9.7940</t>
        </is>
      </c>
      <c r="C8" t="inlineStr">
        <is>
          <t>m/s²</t>
        </is>
      </c>
      <c r="D8" t="inlineStr">
        <is>
          <t>实验参数</t>
        </is>
      </c>
    </row>
    <row r="9">
      <c r="A9" t="inlineStr">
        <is>
          <t>油滴密度</t>
        </is>
      </c>
      <c r="B9" t="inlineStr">
        <is>
          <t>981</t>
        </is>
      </c>
      <c r="C9" t="inlineStr">
        <is>
          <t>kg/m³</t>
        </is>
      </c>
      <c r="D9" t="inlineStr">
        <is>
          <t>实验参数</t>
        </is>
      </c>
    </row>
    <row r="10">
      <c r="A10" t="inlineStr">
        <is>
          <t>空气密度</t>
        </is>
      </c>
      <c r="B10" t="inlineStr">
        <is>
          <t>1.188</t>
        </is>
      </c>
      <c r="C10" t="inlineStr">
        <is>
          <t>kg/m³</t>
        </is>
      </c>
      <c r="D10" t="inlineStr">
        <is>
          <t>实验参数</t>
        </is>
      </c>
    </row>
    <row r="11">
      <c r="A11" t="inlineStr">
        <is>
          <t>空气粘滞系数</t>
        </is>
      </c>
      <c r="B11" t="inlineStr">
        <is>
          <t>1.832×10⁻⁵</t>
        </is>
      </c>
      <c r="C11" t="inlineStr">
        <is>
          <t>kg/(m·s)</t>
        </is>
      </c>
      <c r="D11" t="inlineStr">
        <is>
          <t>实验参数</t>
        </is>
      </c>
    </row>
    <row r="12">
      <c r="A12" t="inlineStr">
        <is>
          <t>修正常数</t>
        </is>
      </c>
      <c r="B12" t="inlineStr">
        <is>
          <t>0.00823</t>
        </is>
      </c>
      <c r="C12" t="inlineStr">
        <is>
          <t>N/m</t>
        </is>
      </c>
      <c r="D12" t="inlineStr">
        <is>
          <t>实验参数</t>
        </is>
      </c>
    </row>
    <row r="13">
      <c r="A13" t="inlineStr">
        <is>
          <t>空气密度</t>
        </is>
      </c>
      <c r="B13" t="inlineStr">
        <is>
          <t>1.188</t>
        </is>
      </c>
      <c r="C13" t="inlineStr">
        <is>
          <t>kg/m³</t>
        </is>
      </c>
      <c r="D13" t="inlineStr">
        <is>
          <t>计算参数</t>
        </is>
      </c>
    </row>
    <row r="14">
      <c r="A14" t="inlineStr">
        <is>
          <t>空气粘滞系数</t>
        </is>
      </c>
      <c r="B14" t="inlineStr">
        <is>
          <t>1.832×10⁻⁵</t>
        </is>
      </c>
      <c r="C14" t="inlineStr">
        <is>
          <t>kg/(m·s)</t>
        </is>
      </c>
      <c r="D14" t="inlineStr">
        <is>
          <t>计算参数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>
        <f>== 平衡法数据记录表 ===</f>
        <v/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电压U/V</t>
        </is>
      </c>
      <c r="B2" t="inlineStr">
        <is>
          <t>下落时间tg1/s</t>
        </is>
      </c>
      <c r="C2" t="inlineStr">
        <is>
          <t>下落时间tg2/s</t>
        </is>
      </c>
      <c r="D2" t="inlineStr">
        <is>
          <t>下落时间tg3/s</t>
        </is>
      </c>
      <c r="E2" t="inlineStr">
        <is>
          <t>平均值tg/s</t>
        </is>
      </c>
      <c r="F2" t="inlineStr">
        <is>
          <t>下落速度vg/×10⁻⁵m/s</t>
        </is>
      </c>
      <c r="G2" t="inlineStr">
        <is>
          <t>油滴半径a/×10⁻⁷m</t>
        </is>
      </c>
      <c r="H2" t="inlineStr">
        <is>
          <t>油滴带电量q/×10⁻¹⁹C</t>
        </is>
      </c>
      <c r="I2" t="inlineStr">
        <is>
          <t>带电子数n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3.00</t>
        </is>
      </c>
      <c r="F3" t="inlineStr">
        <is>
          <t>66.667</t>
        </is>
      </c>
      <c r="G3" t="inlineStr">
        <is>
          <t>23.933</t>
        </is>
      </c>
      <c r="H3" t="inlineStr">
        <is>
          <t>26207.594</t>
        </is>
      </c>
      <c r="I3" t="inlineStr">
        <is>
          <t>16359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</cols>
  <sheetData>
    <row r="1">
      <c r="A1">
        <f>== 平衡法计算结果 ===</f>
        <v/>
      </c>
      <c r="B1" t="inlineStr"/>
      <c r="C1" t="inlineStr"/>
      <c r="D1" t="inlineStr"/>
    </row>
    <row r="2">
      <c r="A2" t="inlineStr">
        <is>
          <t>项目</t>
        </is>
      </c>
      <c r="B2" t="inlineStr">
        <is>
          <t>数值</t>
        </is>
      </c>
      <c r="C2" t="inlineStr">
        <is>
          <t>单位</t>
        </is>
      </c>
      <c r="D2" t="inlineStr">
        <is>
          <t>备注</t>
        </is>
      </c>
    </row>
    <row r="3">
      <c r="A3" t="inlineStr">
        <is>
          <t>基本电荷理论值</t>
        </is>
      </c>
      <c r="B3" t="inlineStr">
        <is>
          <t>1.602</t>
        </is>
      </c>
      <c r="C3" t="inlineStr">
        <is>
          <t>×10⁻¹⁹ C</t>
        </is>
      </c>
      <c r="D3" t="inlineStr">
        <is>
          <t>参考值</t>
        </is>
      </c>
    </row>
    <row r="4">
      <c r="A4" t="inlineStr">
        <is>
          <t>基本电荷实验值</t>
        </is>
      </c>
      <c r="B4" t="inlineStr">
        <is>
          <t>未计算</t>
        </is>
      </c>
      <c r="C4" t="inlineStr"/>
      <c r="D4" t="inlineStr">
        <is>
          <t>待计算</t>
        </is>
      </c>
    </row>
    <row r="5">
      <c r="A5" t="inlineStr">
        <is>
          <t>百分误差</t>
        </is>
      </c>
      <c r="B5" t="inlineStr">
        <is>
          <t>未计算</t>
        </is>
      </c>
      <c r="C5" t="inlineStr"/>
      <c r="D5" t="inlineStr">
        <is>
          <t>待计算</t>
        </is>
      </c>
    </row>
    <row r="6">
      <c r="A6" t="inlineStr"/>
      <c r="B6" t="inlineStr"/>
      <c r="C6" t="inlineStr"/>
      <c r="D6" t="inlineStr"/>
    </row>
    <row r="7">
      <c r="A7">
        <f>== 数据统计 ===</f>
        <v/>
      </c>
      <c r="B7" t="inlineStr"/>
      <c r="C7" t="inlineStr"/>
      <c r="D7" t="inlineStr"/>
    </row>
    <row r="8">
      <c r="A8" t="inlineStr">
        <is>
          <t>有效数据行数</t>
        </is>
      </c>
      <c r="B8" t="inlineStr">
        <is>
          <t>1</t>
        </is>
      </c>
      <c r="C8" t="inlineStr">
        <is>
          <t>行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2026-01-09T01:34:16Z</dcterms:created>
  <dcterms:modified xsi:type="dcterms:W3CDTF">2026-01-09T01:34:16Z</dcterms:modified>
</cp:coreProperties>
</file>